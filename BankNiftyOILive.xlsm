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rna Chand\Desktop\"/>
    </mc:Choice>
  </mc:AlternateContent>
  <bookViews>
    <workbookView xWindow="-120" yWindow="-120" windowWidth="19440" windowHeight="11640" activeTab="1"/>
  </bookViews>
  <sheets>
    <sheet name="Sheet1" sheetId="1" r:id="rId1"/>
    <sheet name="OIDATA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 l="1"/>
  <c r="H26" i="1"/>
  <c r="G26" i="1"/>
  <c r="F26" i="1"/>
  <c r="E26" i="1"/>
  <c r="D26" i="1"/>
  <c r="C26" i="1"/>
  <c r="B26" i="1"/>
  <c r="A26" i="1"/>
</calcChain>
</file>

<file path=xl/sharedStrings.xml><?xml version="1.0" encoding="utf-8"?>
<sst xmlns="http://schemas.openxmlformats.org/spreadsheetml/2006/main" count="52" uniqueCount="19">
  <si>
    <t>Calls</t>
  </si>
  <si>
    <t>Puts</t>
  </si>
  <si>
    <t>OI</t>
  </si>
  <si>
    <t>Change in OI</t>
  </si>
  <si>
    <t>Strike Price</t>
  </si>
  <si>
    <t>TIME</t>
  </si>
  <si>
    <t xml:space="preserve">NIFTY SPOT </t>
  </si>
  <si>
    <t>Call OI</t>
  </si>
  <si>
    <t>Put OI</t>
  </si>
  <si>
    <t>Call COI</t>
  </si>
  <si>
    <t>Put COI</t>
  </si>
  <si>
    <t>Diff</t>
  </si>
  <si>
    <t>PCR</t>
  </si>
  <si>
    <t>TREND</t>
  </si>
  <si>
    <t>Total OI</t>
  </si>
  <si>
    <t>Total Volume</t>
  </si>
  <si>
    <t>UP</t>
  </si>
  <si>
    <t>DOWN</t>
  </si>
  <si>
    <t>28-05-2021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</si>
</sst>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5" fontId="1" fillId="0" borderId="0" xfId="0" applyNumberFormat="1" applyFont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6</xdr:row>
          <xdr:rowOff>123825</xdr:rowOff>
        </xdr:from>
        <xdr:to>
          <xdr:col>10</xdr:col>
          <xdr:colOff>495300</xdr:colOff>
          <xdr:row>9</xdr:row>
          <xdr:rowOff>142875</xdr:rowOff>
        </xdr:to>
        <xdr:sp macro="" textlink="">
          <xdr:nvSpPr>
            <xdr:cNvPr id="2049" name="ForceFetch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66675</xdr:rowOff>
        </xdr:from>
        <xdr:to>
          <xdr:col>14</xdr:col>
          <xdr:colOff>561975</xdr:colOff>
          <xdr:row>10</xdr:row>
          <xdr:rowOff>133350</xdr:rowOff>
        </xdr:to>
        <xdr:sp macro="" textlink="">
          <xdr:nvSpPr>
            <xdr:cNvPr id="1025" name="Clear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6"/>
  <sheetViews>
    <sheetView workbookViewId="0">
      <selection activeCell="D9" sqref="D9"/>
    </sheetView>
  </sheetViews>
  <sheetFormatPr defaultRowHeight="15" x14ac:dyDescent="0.25"/>
  <cols>
    <col min="1" max="1" width="13.42578125" customWidth="1"/>
    <col min="2" max="2" width="13.5703125" customWidth="1"/>
    <col min="3" max="3" width="14.5703125" customWidth="1"/>
    <col min="4" max="4" width="15.85546875" customWidth="1"/>
  </cols>
  <sheetData>
    <row r="1" spans="1:9" x14ac:dyDescent="0.25">
      <c r="A1" s="9">
        <v>35172.199999999997</v>
      </c>
      <c r="B1" s="9" t="s">
        <v>18</v>
      </c>
      <c r="C1" s="5">
        <v>0.60416666666666663</v>
      </c>
      <c r="D1" s="9"/>
      <c r="E1" s="9"/>
      <c r="F1" s="1"/>
      <c r="G1" s="1"/>
      <c r="H1" s="1"/>
      <c r="I1" s="1"/>
    </row>
    <row r="2" spans="1:9" x14ac:dyDescent="0.25">
      <c r="A2" s="10" t="s">
        <v>0</v>
      </c>
      <c r="B2" s="10"/>
      <c r="C2" s="6">
        <v>44350</v>
      </c>
      <c r="D2" s="10" t="s">
        <v>1</v>
      </c>
      <c r="E2" s="10"/>
      <c r="F2" s="1"/>
      <c r="G2" s="1"/>
      <c r="H2" s="1"/>
      <c r="I2" s="1"/>
    </row>
    <row r="3" spans="1:9" x14ac:dyDescent="0.25">
      <c r="A3" s="9" t="s">
        <v>2</v>
      </c>
      <c r="B3" s="9" t="s">
        <v>3</v>
      </c>
      <c r="C3" s="9" t="s">
        <v>4</v>
      </c>
      <c r="D3" s="9" t="s">
        <v>3</v>
      </c>
      <c r="E3" s="9" t="s">
        <v>2</v>
      </c>
      <c r="F3" s="1"/>
      <c r="G3" s="1"/>
      <c r="H3" s="1"/>
      <c r="I3" s="1"/>
    </row>
    <row r="4" spans="1:9" x14ac:dyDescent="0.25">
      <c r="A4" s="1">
        <v>256</v>
      </c>
      <c r="B4" s="1">
        <v>34</v>
      </c>
      <c r="C4" s="1">
        <v>34400</v>
      </c>
      <c r="D4" s="1">
        <v>3406</v>
      </c>
      <c r="E4" s="1">
        <v>5574</v>
      </c>
      <c r="F4" s="1"/>
      <c r="G4" s="1"/>
      <c r="H4" s="1"/>
      <c r="I4" s="1"/>
    </row>
    <row r="5" spans="1:9" x14ac:dyDescent="0.25">
      <c r="A5" s="1">
        <v>8830</v>
      </c>
      <c r="B5" s="1">
        <v>-504</v>
      </c>
      <c r="C5" s="1">
        <v>34500</v>
      </c>
      <c r="D5" s="1">
        <v>20784</v>
      </c>
      <c r="E5" s="1">
        <v>39889</v>
      </c>
      <c r="F5" s="1"/>
      <c r="G5" s="1"/>
      <c r="H5" s="1"/>
      <c r="I5" s="1"/>
    </row>
    <row r="6" spans="1:9" x14ac:dyDescent="0.25">
      <c r="A6" s="1">
        <v>1081</v>
      </c>
      <c r="B6" s="1">
        <v>-247</v>
      </c>
      <c r="C6" s="1">
        <v>34600</v>
      </c>
      <c r="D6" s="1">
        <v>3865</v>
      </c>
      <c r="E6" s="1">
        <v>7383</v>
      </c>
      <c r="F6" s="1"/>
      <c r="G6" s="1"/>
      <c r="H6" s="1"/>
      <c r="I6" s="1"/>
    </row>
    <row r="7" spans="1:9" x14ac:dyDescent="0.25">
      <c r="A7" s="1">
        <v>1243</v>
      </c>
      <c r="B7" s="1">
        <v>-345</v>
      </c>
      <c r="C7" s="1">
        <v>34700</v>
      </c>
      <c r="D7" s="1">
        <v>4020</v>
      </c>
      <c r="E7" s="1">
        <v>7264</v>
      </c>
      <c r="F7" s="1"/>
      <c r="G7" s="1"/>
      <c r="H7" s="1"/>
      <c r="I7" s="1"/>
    </row>
    <row r="8" spans="1:9" x14ac:dyDescent="0.25">
      <c r="A8" s="1">
        <v>2465</v>
      </c>
      <c r="B8" s="1">
        <v>19</v>
      </c>
      <c r="C8" s="1">
        <v>34800</v>
      </c>
      <c r="D8" s="1">
        <v>4306</v>
      </c>
      <c r="E8" s="1">
        <v>8833</v>
      </c>
      <c r="F8" s="1"/>
      <c r="G8" s="1"/>
      <c r="H8" s="1"/>
      <c r="I8" s="1"/>
    </row>
    <row r="9" spans="1:9" x14ac:dyDescent="0.25">
      <c r="A9" s="1">
        <v>2815</v>
      </c>
      <c r="B9" s="1">
        <v>485</v>
      </c>
      <c r="C9" s="1">
        <v>34900</v>
      </c>
      <c r="D9" s="1">
        <v>3795</v>
      </c>
      <c r="E9" s="1">
        <v>6775</v>
      </c>
      <c r="F9" s="1"/>
      <c r="G9" s="1"/>
      <c r="H9" s="1"/>
      <c r="I9" s="1"/>
    </row>
    <row r="10" spans="1:9" x14ac:dyDescent="0.25">
      <c r="A10" s="1">
        <v>36502</v>
      </c>
      <c r="B10" s="1">
        <v>14910</v>
      </c>
      <c r="C10" s="1">
        <v>35000</v>
      </c>
      <c r="D10" s="1">
        <v>28102</v>
      </c>
      <c r="E10" s="1">
        <v>47282</v>
      </c>
      <c r="F10" s="1"/>
      <c r="G10" s="1"/>
      <c r="H10" s="1"/>
      <c r="I10" s="1"/>
    </row>
    <row r="11" spans="1:9" x14ac:dyDescent="0.25">
      <c r="A11" s="1">
        <v>9462</v>
      </c>
      <c r="B11" s="1">
        <v>6829</v>
      </c>
      <c r="C11" s="1">
        <v>35100</v>
      </c>
      <c r="D11" s="1">
        <v>9703</v>
      </c>
      <c r="E11" s="1">
        <v>11521</v>
      </c>
      <c r="F11" s="1"/>
      <c r="G11" s="1"/>
      <c r="H11" s="1"/>
      <c r="I11" s="1"/>
    </row>
    <row r="12" spans="1:9" x14ac:dyDescent="0.25">
      <c r="A12" s="1">
        <v>20284</v>
      </c>
      <c r="B12" s="1">
        <v>15811</v>
      </c>
      <c r="C12" s="1">
        <v>35200</v>
      </c>
      <c r="D12" s="1">
        <v>11580</v>
      </c>
      <c r="E12" s="1">
        <v>13712</v>
      </c>
      <c r="F12" s="1"/>
      <c r="G12" s="1"/>
      <c r="H12" s="1"/>
      <c r="I12" s="1"/>
    </row>
    <row r="13" spans="1:9" x14ac:dyDescent="0.25">
      <c r="A13" s="1">
        <v>26952</v>
      </c>
      <c r="B13" s="1">
        <v>23007</v>
      </c>
      <c r="C13" s="1">
        <v>35300</v>
      </c>
      <c r="D13" s="1">
        <v>10453</v>
      </c>
      <c r="E13" s="1">
        <v>11117</v>
      </c>
      <c r="F13" s="1"/>
      <c r="G13" s="1"/>
      <c r="H13" s="1"/>
      <c r="I13" s="1"/>
    </row>
    <row r="14" spans="1:9" x14ac:dyDescent="0.25">
      <c r="A14" s="1">
        <v>20472</v>
      </c>
      <c r="B14" s="1">
        <v>18696</v>
      </c>
      <c r="C14" s="1">
        <v>35400</v>
      </c>
      <c r="D14" s="1">
        <v>6915</v>
      </c>
      <c r="E14" s="1">
        <v>7267</v>
      </c>
      <c r="F14" s="1"/>
      <c r="G14" s="1"/>
      <c r="H14" s="1"/>
      <c r="I14" s="1"/>
    </row>
    <row r="15" spans="1:9" x14ac:dyDescent="0.25">
      <c r="A15" s="1">
        <v>45528</v>
      </c>
      <c r="B15" s="1">
        <v>24435</v>
      </c>
      <c r="C15" s="1">
        <v>35500</v>
      </c>
      <c r="D15" s="1">
        <v>3944</v>
      </c>
      <c r="E15" s="1">
        <v>7927</v>
      </c>
      <c r="F15" s="1"/>
      <c r="G15" s="1"/>
      <c r="H15" s="1"/>
      <c r="I15" s="1"/>
    </row>
    <row r="16" spans="1:9" x14ac:dyDescent="0.25">
      <c r="A16" s="1">
        <v>9200</v>
      </c>
      <c r="B16" s="1">
        <v>7131</v>
      </c>
      <c r="C16" s="1">
        <v>35600</v>
      </c>
      <c r="D16" s="1">
        <v>1325</v>
      </c>
      <c r="E16" s="1">
        <v>1521</v>
      </c>
      <c r="F16" s="1"/>
      <c r="G16" s="1"/>
      <c r="H16" s="1"/>
      <c r="I16" s="1"/>
    </row>
    <row r="17" spans="1:9" x14ac:dyDescent="0.25">
      <c r="A17" s="1">
        <v>11204</v>
      </c>
      <c r="B17" s="1">
        <v>9116</v>
      </c>
      <c r="C17" s="1">
        <v>35700</v>
      </c>
      <c r="D17" s="1">
        <v>531</v>
      </c>
      <c r="E17" s="1">
        <v>613</v>
      </c>
      <c r="F17" s="1"/>
      <c r="G17" s="1"/>
      <c r="H17" s="1"/>
      <c r="I17" s="1"/>
    </row>
    <row r="18" spans="1:9" x14ac:dyDescent="0.25">
      <c r="A18" s="1">
        <v>9915</v>
      </c>
      <c r="B18" s="1">
        <v>6865</v>
      </c>
      <c r="C18" s="1">
        <v>35800</v>
      </c>
      <c r="D18" s="1">
        <v>361</v>
      </c>
      <c r="E18" s="1">
        <v>436</v>
      </c>
      <c r="F18" s="1"/>
      <c r="G18" s="1"/>
      <c r="H18" s="1"/>
      <c r="I18" s="1"/>
    </row>
    <row r="19" spans="1:9" x14ac:dyDescent="0.25">
      <c r="A19" s="1">
        <v>6803</v>
      </c>
      <c r="B19" s="1">
        <v>5520</v>
      </c>
      <c r="C19" s="1">
        <v>35900</v>
      </c>
      <c r="D19" s="1">
        <v>194</v>
      </c>
      <c r="E19" s="1">
        <v>208</v>
      </c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9" t="s">
        <v>14</v>
      </c>
      <c r="B21" s="1"/>
      <c r="C21" s="1"/>
      <c r="D21" s="1"/>
      <c r="E21" s="9" t="s">
        <v>14</v>
      </c>
      <c r="F21" s="1"/>
      <c r="G21" s="1"/>
      <c r="H21" s="1"/>
      <c r="I21" s="1"/>
    </row>
    <row r="22" spans="1:9" x14ac:dyDescent="0.25">
      <c r="A22" s="1">
        <v>512642</v>
      </c>
      <c r="B22" s="1"/>
      <c r="C22" s="1"/>
      <c r="D22" s="1"/>
      <c r="E22" s="1">
        <v>385729</v>
      </c>
      <c r="F22" s="1"/>
      <c r="G22" s="1"/>
      <c r="H22" s="1"/>
      <c r="I22" s="1"/>
    </row>
    <row r="23" spans="1:9" x14ac:dyDescent="0.25">
      <c r="A23" s="9" t="s">
        <v>15</v>
      </c>
      <c r="B23" s="1"/>
      <c r="C23" s="1"/>
      <c r="D23" s="1"/>
      <c r="E23" s="9" t="s">
        <v>15</v>
      </c>
      <c r="F23" s="1"/>
      <c r="G23" s="1"/>
      <c r="H23" s="1"/>
      <c r="I23" s="1"/>
    </row>
    <row r="24" spans="1:9" x14ac:dyDescent="0.25">
      <c r="A24" s="1">
        <v>5200305</v>
      </c>
      <c r="B24" s="1"/>
      <c r="C24" s="1"/>
      <c r="D24" s="1"/>
      <c r="E24" s="1">
        <v>4807783</v>
      </c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7">
        <f>Sheet1!C1</f>
        <v>0.60416666666666663</v>
      </c>
      <c r="B26" s="8">
        <f>Sheet1!A1</f>
        <v>35172.199999999997</v>
      </c>
      <c r="C26" s="8">
        <f>SUM(Sheet1!A4:A19)</f>
        <v>213012</v>
      </c>
      <c r="D26" s="8">
        <f>SUM(Sheet1!E4:E19)</f>
        <v>177322</v>
      </c>
      <c r="E26" s="8">
        <f>SUM(Sheet1!B4:B19)</f>
        <v>131762</v>
      </c>
      <c r="F26" s="8">
        <f>SUM(Sheet1!D4:D19)</f>
        <v>113284</v>
      </c>
      <c r="G26" s="8">
        <f>SUM(Sheet1!B4:B19)-SUM(Sheet1!D4:D19)</f>
        <v>18478</v>
      </c>
      <c r="H26" s="8">
        <f>SUM(Sheet1!D4:D19)/SUM(Sheet1!B4:B19)</f>
        <v>0.85976229869006238</v>
      </c>
      <c r="I26" s="8" t="str">
        <f>IF(SIGN(SUM(Sheet1!B4:B19)-SUM(Sheet1!D4:D19))=1,"DOWN","UP")</f>
        <v>DOWN</v>
      </c>
    </row>
  </sheetData>
  <mergeCells count="2">
    <mergeCell ref="A2:B2"/>
    <mergeCell ref="D2:E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ForceFetchData">
          <controlPr defaultSize="0" autoLine="0" r:id="rId5">
            <anchor moveWithCells="1">
              <from>
                <xdr:col>6</xdr:col>
                <xdr:colOff>352425</xdr:colOff>
                <xdr:row>6</xdr:row>
                <xdr:rowOff>123825</xdr:rowOff>
              </from>
              <to>
                <xdr:col>10</xdr:col>
                <xdr:colOff>495300</xdr:colOff>
                <xdr:row>9</xdr:row>
                <xdr:rowOff>142875</xdr:rowOff>
              </to>
            </anchor>
          </controlPr>
        </control>
      </mc:Choice>
      <mc:Fallback>
        <control shapeId="2049" r:id="rId4" name="ForceFetch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2"/>
  <sheetViews>
    <sheetView tabSelected="1" topLeftCell="A13" workbookViewId="0">
      <selection activeCell="I32" sqref="I32"/>
    </sheetView>
  </sheetViews>
  <sheetFormatPr defaultRowHeight="15" x14ac:dyDescent="0.25"/>
  <cols>
    <col min="2" max="2" width="12.5703125" customWidth="1"/>
  </cols>
  <sheetData>
    <row r="1" spans="1:9" x14ac:dyDescent="0.2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</row>
    <row r="2" spans="1:9" x14ac:dyDescent="0.25">
      <c r="A2" s="4">
        <v>0.45694444444444443</v>
      </c>
      <c r="B2" s="1">
        <v>32552.7</v>
      </c>
      <c r="C2" s="1">
        <v>357960</v>
      </c>
      <c r="D2" s="1">
        <v>280929</v>
      </c>
      <c r="E2" s="1">
        <v>61110</v>
      </c>
      <c r="F2" s="1">
        <v>139189</v>
      </c>
      <c r="G2" s="1">
        <v>-78079</v>
      </c>
      <c r="H2" s="1">
        <v>2.2776795941744394</v>
      </c>
      <c r="I2" s="1" t="s">
        <v>16</v>
      </c>
    </row>
    <row r="3" spans="1:9" x14ac:dyDescent="0.25">
      <c r="A3" s="4">
        <v>0.44027777777777777</v>
      </c>
      <c r="B3" s="1">
        <v>33372.5</v>
      </c>
      <c r="C3" s="1">
        <v>421459</v>
      </c>
      <c r="D3" s="1">
        <v>362514</v>
      </c>
      <c r="E3" s="1">
        <v>208010</v>
      </c>
      <c r="F3" s="1">
        <v>188849</v>
      </c>
      <c r="G3" s="1">
        <v>19161</v>
      </c>
      <c r="H3" s="1">
        <v>0.90788423633479165</v>
      </c>
      <c r="I3" s="1" t="s">
        <v>17</v>
      </c>
    </row>
    <row r="4" spans="1:9" x14ac:dyDescent="0.25">
      <c r="A4" s="4">
        <v>0.44166666666666665</v>
      </c>
      <c r="B4" s="1">
        <v>33385.199999999997</v>
      </c>
      <c r="C4" s="1">
        <v>421464</v>
      </c>
      <c r="D4" s="1">
        <v>362508</v>
      </c>
      <c r="E4" s="1">
        <v>208015</v>
      </c>
      <c r="F4" s="1">
        <v>188843</v>
      </c>
      <c r="G4" s="1">
        <v>19172</v>
      </c>
      <c r="H4" s="1">
        <v>0.90783356969449314</v>
      </c>
      <c r="I4" s="1" t="s">
        <v>17</v>
      </c>
    </row>
    <row r="5" spans="1:9" x14ac:dyDescent="0.25">
      <c r="A5" s="4">
        <v>0.4513888888888889</v>
      </c>
      <c r="B5" s="1">
        <v>33267.949999999997</v>
      </c>
      <c r="C5" s="1">
        <v>410906</v>
      </c>
      <c r="D5" s="1">
        <v>378768</v>
      </c>
      <c r="E5" s="1">
        <v>205904</v>
      </c>
      <c r="F5" s="1">
        <v>180869</v>
      </c>
      <c r="G5" s="1">
        <v>25035</v>
      </c>
      <c r="H5" s="1">
        <v>0.87841421244851969</v>
      </c>
      <c r="I5" s="1" t="s">
        <v>17</v>
      </c>
    </row>
    <row r="6" spans="1:9" x14ac:dyDescent="0.25">
      <c r="A6" s="4">
        <v>0.46249999999999997</v>
      </c>
      <c r="B6" s="1">
        <v>33259.949999999997</v>
      </c>
      <c r="C6" s="1">
        <v>428084</v>
      </c>
      <c r="D6" s="1">
        <v>370417</v>
      </c>
      <c r="E6" s="1">
        <v>223082</v>
      </c>
      <c r="F6" s="1">
        <v>172518</v>
      </c>
      <c r="G6" s="1">
        <v>50564</v>
      </c>
      <c r="H6" s="1">
        <v>0.77333895159627397</v>
      </c>
      <c r="I6" s="1" t="s">
        <v>17</v>
      </c>
    </row>
    <row r="7" spans="1:9" x14ac:dyDescent="0.25">
      <c r="A7" s="4">
        <v>0.47083333333333338</v>
      </c>
      <c r="B7" s="1">
        <v>33292.35</v>
      </c>
      <c r="C7" s="1">
        <v>440479</v>
      </c>
      <c r="D7" s="1">
        <v>376459</v>
      </c>
      <c r="E7" s="1">
        <v>235477</v>
      </c>
      <c r="F7" s="1">
        <v>178560</v>
      </c>
      <c r="G7" s="1">
        <v>56917</v>
      </c>
      <c r="H7" s="1">
        <v>0.75829061861668023</v>
      </c>
      <c r="I7" s="1" t="s">
        <v>17</v>
      </c>
    </row>
    <row r="8" spans="1:9" x14ac:dyDescent="0.25">
      <c r="A8" s="4">
        <v>0.47291666666666665</v>
      </c>
      <c r="B8" s="1">
        <v>33268.35</v>
      </c>
      <c r="C8" s="1">
        <v>442456</v>
      </c>
      <c r="D8" s="1">
        <v>377172</v>
      </c>
      <c r="E8" s="1">
        <v>237454</v>
      </c>
      <c r="F8" s="1">
        <v>179273</v>
      </c>
      <c r="G8" s="1">
        <v>58181</v>
      </c>
      <c r="H8" s="1">
        <v>0.7549799118987256</v>
      </c>
      <c r="I8" s="1" t="s">
        <v>17</v>
      </c>
    </row>
    <row r="9" spans="1:9" x14ac:dyDescent="0.25">
      <c r="A9" s="4">
        <v>0.4826388888888889</v>
      </c>
      <c r="B9" s="1">
        <v>33272.5</v>
      </c>
      <c r="C9" s="1">
        <v>450173</v>
      </c>
      <c r="D9" s="1">
        <v>384451</v>
      </c>
      <c r="E9" s="1">
        <v>245171</v>
      </c>
      <c r="F9" s="1">
        <v>186552</v>
      </c>
      <c r="G9" s="1">
        <v>58619</v>
      </c>
      <c r="H9" s="1">
        <v>0.76090565360503482</v>
      </c>
      <c r="I9" s="1" t="s">
        <v>17</v>
      </c>
    </row>
    <row r="10" spans="1:9" x14ac:dyDescent="0.25">
      <c r="A10" s="4">
        <v>0.49374999999999997</v>
      </c>
      <c r="B10" s="1">
        <v>33280.1</v>
      </c>
      <c r="C10" s="1">
        <v>453221</v>
      </c>
      <c r="D10" s="1">
        <v>382582</v>
      </c>
      <c r="E10" s="1">
        <v>248219</v>
      </c>
      <c r="F10" s="1">
        <v>184683</v>
      </c>
      <c r="G10" s="1">
        <v>63536</v>
      </c>
      <c r="H10" s="1">
        <v>0.7440324874405263</v>
      </c>
      <c r="I10" s="1" t="s">
        <v>17</v>
      </c>
    </row>
    <row r="11" spans="1:9" x14ac:dyDescent="0.25">
      <c r="A11" s="4">
        <v>0.50347222222222221</v>
      </c>
      <c r="B11" s="1">
        <v>33358.25</v>
      </c>
      <c r="C11" s="1">
        <v>458327</v>
      </c>
      <c r="D11" s="1">
        <v>334240</v>
      </c>
      <c r="E11" s="1">
        <v>244878</v>
      </c>
      <c r="F11" s="1">
        <v>160575</v>
      </c>
      <c r="G11" s="1">
        <v>84303</v>
      </c>
      <c r="H11" s="1">
        <v>0.65573469237742876</v>
      </c>
      <c r="I11" s="1" t="s">
        <v>17</v>
      </c>
    </row>
    <row r="12" spans="1:9" x14ac:dyDescent="0.25">
      <c r="A12" s="4">
        <v>0.51458333333333328</v>
      </c>
      <c r="B12" s="1">
        <v>33338.85</v>
      </c>
      <c r="C12" s="1">
        <v>471326</v>
      </c>
      <c r="D12" s="1">
        <v>340671</v>
      </c>
      <c r="E12" s="1">
        <v>257877</v>
      </c>
      <c r="F12" s="1">
        <v>167006</v>
      </c>
      <c r="G12" s="1">
        <v>90871</v>
      </c>
      <c r="H12" s="1">
        <v>0.64761882602946363</v>
      </c>
      <c r="I12" s="1" t="s">
        <v>17</v>
      </c>
    </row>
    <row r="13" spans="1:9" x14ac:dyDescent="0.25">
      <c r="A13" s="4">
        <v>0.52500000000000002</v>
      </c>
      <c r="B13" s="1">
        <v>33313.4</v>
      </c>
      <c r="C13" s="1">
        <v>478890</v>
      </c>
      <c r="D13" s="1">
        <v>338719</v>
      </c>
      <c r="E13" s="1">
        <v>265441</v>
      </c>
      <c r="F13" s="1">
        <v>165054</v>
      </c>
      <c r="G13" s="1">
        <v>100387</v>
      </c>
      <c r="H13" s="1">
        <v>0.62181049649451292</v>
      </c>
      <c r="I13" s="1" t="s">
        <v>17</v>
      </c>
    </row>
    <row r="14" spans="1:9" x14ac:dyDescent="0.25">
      <c r="A14" s="4">
        <v>0.53541666666666665</v>
      </c>
      <c r="B14" s="1">
        <v>33289.9</v>
      </c>
      <c r="C14" s="1">
        <v>463037</v>
      </c>
      <c r="D14" s="1">
        <v>386496</v>
      </c>
      <c r="E14" s="1">
        <v>258035</v>
      </c>
      <c r="F14" s="1">
        <v>188597</v>
      </c>
      <c r="G14" s="1">
        <v>69438</v>
      </c>
      <c r="H14" s="1">
        <v>0.7308969713410971</v>
      </c>
      <c r="I14" s="1" t="s">
        <v>17</v>
      </c>
    </row>
    <row r="15" spans="1:9" x14ac:dyDescent="0.25">
      <c r="A15" s="4">
        <v>0.54305555555555551</v>
      </c>
      <c r="B15" s="1">
        <v>33396.85</v>
      </c>
      <c r="C15" s="1">
        <v>483418</v>
      </c>
      <c r="D15" s="1">
        <v>349914</v>
      </c>
      <c r="E15" s="1">
        <v>269969</v>
      </c>
      <c r="F15" s="1">
        <v>176249</v>
      </c>
      <c r="G15" s="1">
        <v>93720</v>
      </c>
      <c r="H15" s="1">
        <v>0.65284903081464907</v>
      </c>
      <c r="I15" s="1" t="s">
        <v>17</v>
      </c>
    </row>
    <row r="16" spans="1:9" x14ac:dyDescent="0.25">
      <c r="A16" s="4">
        <v>0.54583333333333328</v>
      </c>
      <c r="B16" s="1">
        <v>33438.550000000003</v>
      </c>
      <c r="C16" s="1">
        <v>500549</v>
      </c>
      <c r="D16" s="1">
        <v>340910</v>
      </c>
      <c r="E16" s="1">
        <v>271789</v>
      </c>
      <c r="F16" s="1">
        <v>172898</v>
      </c>
      <c r="G16" s="1">
        <v>98891</v>
      </c>
      <c r="H16" s="1">
        <v>0.63614789413846773</v>
      </c>
      <c r="I16" s="1" t="s">
        <v>17</v>
      </c>
    </row>
    <row r="17" spans="1:9" x14ac:dyDescent="0.25">
      <c r="A17" s="4">
        <v>0.55625000000000002</v>
      </c>
      <c r="B17" s="1">
        <v>33540.949999999997</v>
      </c>
      <c r="C17" s="1">
        <v>475534</v>
      </c>
      <c r="D17" s="1">
        <v>330651</v>
      </c>
      <c r="E17" s="1">
        <v>235129</v>
      </c>
      <c r="F17" s="1">
        <v>171141</v>
      </c>
      <c r="G17" s="1">
        <v>63988</v>
      </c>
      <c r="H17" s="1">
        <v>0.72786002577308628</v>
      </c>
      <c r="I17" s="1" t="s">
        <v>17</v>
      </c>
    </row>
    <row r="18" spans="1:9" x14ac:dyDescent="0.25">
      <c r="A18" s="4">
        <v>0.56666666666666665</v>
      </c>
      <c r="B18" s="1">
        <v>33505.699999999997</v>
      </c>
      <c r="C18" s="1">
        <v>454413</v>
      </c>
      <c r="D18" s="1">
        <v>341978</v>
      </c>
      <c r="E18" s="1">
        <v>214008</v>
      </c>
      <c r="F18" s="1">
        <v>182468</v>
      </c>
      <c r="G18" s="1">
        <v>31540</v>
      </c>
      <c r="H18" s="1">
        <v>0.8526223318754439</v>
      </c>
      <c r="I18" s="1" t="s">
        <v>17</v>
      </c>
    </row>
    <row r="19" spans="1:9" x14ac:dyDescent="0.25">
      <c r="A19" s="4">
        <v>0.51388888888888895</v>
      </c>
      <c r="B19" s="1">
        <v>32974.65</v>
      </c>
      <c r="C19" s="1">
        <v>449759</v>
      </c>
      <c r="D19" s="1">
        <v>349511</v>
      </c>
      <c r="E19" s="1">
        <v>252527</v>
      </c>
      <c r="F19" s="1">
        <v>170942</v>
      </c>
      <c r="G19" s="1">
        <v>81585</v>
      </c>
      <c r="H19" s="1">
        <v>0.67692563567460118</v>
      </c>
      <c r="I19" s="1" t="s">
        <v>17</v>
      </c>
    </row>
    <row r="20" spans="1:9" x14ac:dyDescent="0.25">
      <c r="A20" s="4">
        <v>0.51388888888888895</v>
      </c>
      <c r="B20" s="1">
        <v>32974.65</v>
      </c>
      <c r="C20" s="1">
        <v>449759</v>
      </c>
      <c r="D20" s="1">
        <v>349511</v>
      </c>
      <c r="E20" s="1">
        <v>252527</v>
      </c>
      <c r="F20" s="1">
        <v>170942</v>
      </c>
      <c r="G20" s="1">
        <v>81585</v>
      </c>
      <c r="H20" s="1">
        <v>0.67692563567460118</v>
      </c>
      <c r="I20" s="1" t="s">
        <v>17</v>
      </c>
    </row>
    <row r="21" spans="1:9" x14ac:dyDescent="0.25">
      <c r="A21" s="4">
        <v>0.52430555555555558</v>
      </c>
      <c r="B21" s="1">
        <v>33043.050000000003</v>
      </c>
      <c r="C21" s="1">
        <v>494487</v>
      </c>
      <c r="D21" s="1">
        <v>347445</v>
      </c>
      <c r="E21" s="1">
        <v>282014</v>
      </c>
      <c r="F21" s="1">
        <v>182999</v>
      </c>
      <c r="G21" s="1">
        <v>99015</v>
      </c>
      <c r="H21" s="1">
        <v>0.64890040919954328</v>
      </c>
      <c r="I21" s="1" t="s">
        <v>17</v>
      </c>
    </row>
    <row r="22" spans="1:9" x14ac:dyDescent="0.25">
      <c r="A22" s="4">
        <v>0.53472222222222221</v>
      </c>
      <c r="B22" s="1">
        <v>33029.949999999997</v>
      </c>
      <c r="C22" s="1">
        <v>507609</v>
      </c>
      <c r="D22" s="1">
        <v>370466</v>
      </c>
      <c r="E22" s="1">
        <v>295136</v>
      </c>
      <c r="F22" s="1">
        <v>206020</v>
      </c>
      <c r="G22" s="1">
        <v>89116</v>
      </c>
      <c r="H22" s="1">
        <v>0.69805106798221839</v>
      </c>
      <c r="I22" s="1" t="s">
        <v>17</v>
      </c>
    </row>
    <row r="23" spans="1:9" x14ac:dyDescent="0.25">
      <c r="A23" s="4">
        <v>0.5444444444444444</v>
      </c>
      <c r="B23" s="1">
        <v>33001.050000000003</v>
      </c>
      <c r="C23" s="1">
        <v>521749</v>
      </c>
      <c r="D23" s="1">
        <v>380727</v>
      </c>
      <c r="E23" s="1">
        <v>309276</v>
      </c>
      <c r="F23" s="1">
        <v>216281</v>
      </c>
      <c r="G23" s="1">
        <v>92995</v>
      </c>
      <c r="H23" s="1">
        <v>0.69931388145216566</v>
      </c>
      <c r="I23" s="1" t="s">
        <v>17</v>
      </c>
    </row>
    <row r="24" spans="1:9" x14ac:dyDescent="0.25">
      <c r="A24" s="4">
        <v>0.55555555555555558</v>
      </c>
      <c r="B24" s="1">
        <v>33151.449999999997</v>
      </c>
      <c r="C24" s="1">
        <v>510641</v>
      </c>
      <c r="D24" s="1">
        <v>347814</v>
      </c>
      <c r="E24" s="1">
        <v>289759</v>
      </c>
      <c r="F24" s="1">
        <v>197600</v>
      </c>
      <c r="G24" s="1">
        <v>92159</v>
      </c>
      <c r="H24" s="1">
        <v>0.68194603101197893</v>
      </c>
      <c r="I24" s="1" t="s">
        <v>17</v>
      </c>
    </row>
    <row r="25" spans="1:9" x14ac:dyDescent="0.25">
      <c r="A25" s="4">
        <v>0.56597222222222221</v>
      </c>
      <c r="B25" s="1">
        <v>33154.449999999997</v>
      </c>
      <c r="C25" s="1">
        <v>487472</v>
      </c>
      <c r="D25" s="1">
        <v>362614</v>
      </c>
      <c r="E25" s="1">
        <v>266590</v>
      </c>
      <c r="F25" s="1">
        <v>212400</v>
      </c>
      <c r="G25" s="1">
        <v>54190</v>
      </c>
      <c r="H25" s="1">
        <v>0.79672905960463636</v>
      </c>
      <c r="I25" s="1" t="s">
        <v>17</v>
      </c>
    </row>
    <row r="26" spans="1:9" x14ac:dyDescent="0.25">
      <c r="A26" s="4">
        <v>0.57638888888888895</v>
      </c>
      <c r="B26" s="1">
        <v>33197.699999999997</v>
      </c>
      <c r="C26" s="1">
        <v>477809</v>
      </c>
      <c r="D26" s="1">
        <v>389724</v>
      </c>
      <c r="E26" s="1">
        <v>256927</v>
      </c>
      <c r="F26" s="1">
        <v>239510</v>
      </c>
      <c r="G26" s="1">
        <v>17417</v>
      </c>
      <c r="H26" s="1">
        <v>0.93221031654905873</v>
      </c>
      <c r="I26" s="1" t="s">
        <v>17</v>
      </c>
    </row>
    <row r="27" spans="1:9" x14ac:dyDescent="0.25">
      <c r="A27" s="4">
        <v>0.58680555555555558</v>
      </c>
      <c r="B27" s="1">
        <v>33065.65</v>
      </c>
      <c r="C27" s="1">
        <v>470205</v>
      </c>
      <c r="D27" s="1">
        <v>414443</v>
      </c>
      <c r="E27" s="1">
        <v>257732</v>
      </c>
      <c r="F27" s="1">
        <v>249997</v>
      </c>
      <c r="G27" s="1">
        <v>7735</v>
      </c>
      <c r="H27" s="1">
        <v>0.96998820480188719</v>
      </c>
      <c r="I27" s="1" t="s">
        <v>17</v>
      </c>
    </row>
    <row r="28" spans="1:9" x14ac:dyDescent="0.25">
      <c r="A28" s="4">
        <v>0.59722222222222221</v>
      </c>
      <c r="B28" s="1">
        <v>33021.449999999997</v>
      </c>
      <c r="C28" s="1">
        <v>484813</v>
      </c>
      <c r="D28" s="1">
        <v>405202</v>
      </c>
      <c r="E28" s="1">
        <v>272340</v>
      </c>
      <c r="F28" s="1">
        <v>240756</v>
      </c>
      <c r="G28" s="1">
        <v>31584</v>
      </c>
      <c r="H28" s="1">
        <v>0.88402731879268559</v>
      </c>
      <c r="I28" s="1" t="s">
        <v>17</v>
      </c>
    </row>
    <row r="29" spans="1:9" x14ac:dyDescent="0.25">
      <c r="A29" s="4">
        <v>0.60833333333333328</v>
      </c>
      <c r="B29" s="1">
        <v>32819.85</v>
      </c>
      <c r="C29" s="1">
        <v>435786</v>
      </c>
      <c r="D29" s="1">
        <v>381870</v>
      </c>
      <c r="E29" s="1">
        <v>252937</v>
      </c>
      <c r="F29" s="1">
        <v>191088</v>
      </c>
      <c r="G29" s="1">
        <v>61849</v>
      </c>
      <c r="H29" s="1">
        <v>0.75547666019601722</v>
      </c>
      <c r="I29" s="1" t="s">
        <v>17</v>
      </c>
    </row>
    <row r="30" spans="1:9" x14ac:dyDescent="0.25">
      <c r="A30" s="4">
        <v>0.61875000000000002</v>
      </c>
      <c r="B30" s="1">
        <v>32885.949999999997</v>
      </c>
      <c r="C30" s="1">
        <v>448013</v>
      </c>
      <c r="D30" s="1">
        <v>364954</v>
      </c>
      <c r="E30" s="1">
        <v>265164</v>
      </c>
      <c r="F30" s="1">
        <v>174172</v>
      </c>
      <c r="G30" s="1">
        <v>90992</v>
      </c>
      <c r="H30" s="1">
        <v>0.6568463290642772</v>
      </c>
      <c r="I30" s="1" t="s">
        <v>17</v>
      </c>
    </row>
    <row r="31" spans="1:9" x14ac:dyDescent="0.25">
      <c r="A31" s="4">
        <v>0.60416666666666663</v>
      </c>
      <c r="B31" s="1">
        <v>35172.199999999997</v>
      </c>
      <c r="C31" s="1">
        <v>213012</v>
      </c>
      <c r="D31" s="1">
        <v>177322</v>
      </c>
      <c r="E31" s="1">
        <v>131762</v>
      </c>
      <c r="F31" s="1">
        <v>113284</v>
      </c>
      <c r="G31" s="1">
        <v>18478</v>
      </c>
      <c r="H31" s="1">
        <v>0.85976229869006238</v>
      </c>
      <c r="I31" s="1" t="s">
        <v>17</v>
      </c>
    </row>
    <row r="32" spans="1:9" x14ac:dyDescent="0.25">
      <c r="A32" s="4">
        <v>0.60416666666666663</v>
      </c>
      <c r="B32" s="1">
        <v>35172.199999999997</v>
      </c>
      <c r="C32" s="1">
        <v>213012</v>
      </c>
      <c r="D32" s="1">
        <v>177322</v>
      </c>
      <c r="E32" s="1">
        <v>131762</v>
      </c>
      <c r="F32" s="1">
        <v>113284</v>
      </c>
      <c r="G32" s="1">
        <v>18478</v>
      </c>
      <c r="H32" s="1">
        <v>0.85976229869006238</v>
      </c>
      <c r="I32" s="1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learData">
          <controlPr defaultSize="0" autoLine="0" r:id="rId4">
            <anchor moveWithCells="1">
              <from>
                <xdr:col>11</xdr:col>
                <xdr:colOff>190500</xdr:colOff>
                <xdr:row>7</xdr:row>
                <xdr:rowOff>66675</xdr:rowOff>
              </from>
              <to>
                <xdr:col>14</xdr:col>
                <xdr:colOff>561975</xdr:colOff>
                <xdr:row>10</xdr:row>
                <xdr:rowOff>133350</xdr:rowOff>
              </to>
            </anchor>
          </controlPr>
        </control>
      </mc:Choice>
      <mc:Fallback>
        <control shapeId="1025" r:id="rId3" name="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OIDATA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Geet</dc:creator>
  <cp:lastModifiedBy>Poorna Chand</cp:lastModifiedBy>
  <dcterms:created xsi:type="dcterms:W3CDTF">2020-12-26T08:25:04Z</dcterms:created>
  <dcterms:modified xsi:type="dcterms:W3CDTF">2021-05-28T09:02:23Z</dcterms:modified>
</cp:coreProperties>
</file>