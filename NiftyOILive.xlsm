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rna Chand\Desktop\"/>
    </mc:Choice>
  </mc:AlternateContent>
  <bookViews>
    <workbookView xWindow="-120" yWindow="-120" windowWidth="19440" windowHeight="11640" activeTab="1"/>
  </bookViews>
  <sheets>
    <sheet name="Sheet1" sheetId="1" r:id="rId1"/>
    <sheet name="OIDATA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" i="1" l="1"/>
  <c r="H26" i="1"/>
  <c r="G26" i="1"/>
  <c r="F26" i="1"/>
  <c r="E26" i="1"/>
  <c r="D26" i="1"/>
  <c r="C26" i="1"/>
  <c r="B26" i="1"/>
  <c r="A26" i="1"/>
</calcChain>
</file>

<file path=xl/sharedStrings.xml><?xml version="1.0" encoding="utf-8"?>
<sst xmlns="http://schemas.openxmlformats.org/spreadsheetml/2006/main" count="36" uniqueCount="19">
  <si>
    <t>Calls</t>
  </si>
  <si>
    <t>Puts</t>
  </si>
  <si>
    <t>OI</t>
  </si>
  <si>
    <t>Change in OI</t>
  </si>
  <si>
    <t>Strike Price</t>
  </si>
  <si>
    <t>TIME</t>
  </si>
  <si>
    <t xml:space="preserve">NIFTY SPOT </t>
  </si>
  <si>
    <t>Call OI</t>
  </si>
  <si>
    <t>Put OI</t>
  </si>
  <si>
    <t>Call COI</t>
  </si>
  <si>
    <t>Put COI</t>
  </si>
  <si>
    <t>Diff</t>
  </si>
  <si>
    <t>PCR</t>
  </si>
  <si>
    <t>TREND</t>
  </si>
  <si>
    <t>Total OI</t>
  </si>
  <si>
    <t>Total Volume</t>
  </si>
  <si>
    <t>UP</t>
  </si>
  <si>
    <t>DOWN</t>
  </si>
  <si>
    <t>28-05-2021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</si>
</sst>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5" fontId="1" fillId="0" borderId="0" xfId="0" applyNumberFormat="1" applyFont="1" applyAlignment="1">
      <alignment horizontal="center" vertical="center"/>
    </xf>
    <xf numFmtId="2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6</xdr:row>
          <xdr:rowOff>123825</xdr:rowOff>
        </xdr:from>
        <xdr:to>
          <xdr:col>10</xdr:col>
          <xdr:colOff>495300</xdr:colOff>
          <xdr:row>9</xdr:row>
          <xdr:rowOff>142875</xdr:rowOff>
        </xdr:to>
        <xdr:sp macro="" textlink="">
          <xdr:nvSpPr>
            <xdr:cNvPr id="2049" name="ForceFetch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66675</xdr:rowOff>
        </xdr:from>
        <xdr:to>
          <xdr:col>14</xdr:col>
          <xdr:colOff>561975</xdr:colOff>
          <xdr:row>10</xdr:row>
          <xdr:rowOff>133350</xdr:rowOff>
        </xdr:to>
        <xdr:sp macro="" textlink="">
          <xdr:nvSpPr>
            <xdr:cNvPr id="1025" name="Clear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6"/>
  <sheetViews>
    <sheetView topLeftCell="G7" workbookViewId="0">
      <selection activeCell="D17" sqref="D17"/>
    </sheetView>
  </sheetViews>
  <sheetFormatPr defaultRowHeight="15" x14ac:dyDescent="0.25"/>
  <cols>
    <col min="1" max="1" width="13.42578125" customWidth="1"/>
    <col min="2" max="2" width="13.5703125" customWidth="1"/>
    <col min="3" max="3" width="14.5703125" customWidth="1"/>
    <col min="4" max="4" width="15.85546875" customWidth="1"/>
  </cols>
  <sheetData>
    <row r="1" spans="1:9" x14ac:dyDescent="0.25">
      <c r="A1" s="9">
        <v>15452.95</v>
      </c>
      <c r="B1" s="9" t="s">
        <v>18</v>
      </c>
      <c r="C1" s="5">
        <v>0.60416666666666663</v>
      </c>
      <c r="D1" s="9"/>
      <c r="E1" s="9"/>
      <c r="F1" s="1"/>
      <c r="G1" s="1"/>
      <c r="H1" s="1"/>
      <c r="I1" s="1"/>
    </row>
    <row r="2" spans="1:9" x14ac:dyDescent="0.25">
      <c r="A2" s="10" t="s">
        <v>0</v>
      </c>
      <c r="B2" s="10"/>
      <c r="C2" s="6">
        <v>44350</v>
      </c>
      <c r="D2" s="10" t="s">
        <v>1</v>
      </c>
      <c r="E2" s="10"/>
      <c r="F2" s="1"/>
      <c r="G2" s="1"/>
      <c r="H2" s="1"/>
      <c r="I2" s="1"/>
    </row>
    <row r="3" spans="1:9" x14ac:dyDescent="0.25">
      <c r="A3" s="9" t="s">
        <v>2</v>
      </c>
      <c r="B3" s="9" t="s">
        <v>3</v>
      </c>
      <c r="C3" s="9" t="s">
        <v>4</v>
      </c>
      <c r="D3" s="9" t="s">
        <v>3</v>
      </c>
      <c r="E3" s="9" t="s">
        <v>2</v>
      </c>
      <c r="F3" s="1"/>
      <c r="G3" s="1"/>
      <c r="H3" s="1"/>
      <c r="I3" s="1"/>
    </row>
    <row r="4" spans="1:9" x14ac:dyDescent="0.25">
      <c r="A4" s="1">
        <v>2199</v>
      </c>
      <c r="B4" s="1">
        <v>-184</v>
      </c>
      <c r="C4" s="1">
        <v>15100</v>
      </c>
      <c r="D4" s="1">
        <v>6689</v>
      </c>
      <c r="E4" s="1">
        <v>19882</v>
      </c>
      <c r="F4" s="1"/>
      <c r="G4" s="1"/>
      <c r="H4" s="1"/>
      <c r="I4" s="1"/>
    </row>
    <row r="5" spans="1:9" x14ac:dyDescent="0.25">
      <c r="A5" s="1">
        <v>663</v>
      </c>
      <c r="B5" s="1">
        <v>-8</v>
      </c>
      <c r="C5" s="1">
        <v>15150</v>
      </c>
      <c r="D5" s="1">
        <v>3320</v>
      </c>
      <c r="E5" s="1">
        <v>5585</v>
      </c>
      <c r="F5" s="1"/>
      <c r="G5" s="1"/>
      <c r="H5" s="1"/>
      <c r="I5" s="1"/>
    </row>
    <row r="6" spans="1:9" x14ac:dyDescent="0.25">
      <c r="A6" s="1">
        <v>9320</v>
      </c>
      <c r="B6" s="1">
        <v>-3168</v>
      </c>
      <c r="C6" s="1">
        <v>15200</v>
      </c>
      <c r="D6" s="1">
        <v>9319</v>
      </c>
      <c r="E6" s="1">
        <v>32701</v>
      </c>
      <c r="F6" s="1"/>
      <c r="G6" s="1"/>
      <c r="H6" s="1"/>
      <c r="I6" s="1"/>
    </row>
    <row r="7" spans="1:9" x14ac:dyDescent="0.25">
      <c r="A7" s="1">
        <v>1516</v>
      </c>
      <c r="B7" s="1">
        <v>-347</v>
      </c>
      <c r="C7" s="1">
        <v>15250</v>
      </c>
      <c r="D7" s="1">
        <v>11367</v>
      </c>
      <c r="E7" s="1">
        <v>16055</v>
      </c>
      <c r="F7" s="1"/>
      <c r="G7" s="1"/>
      <c r="H7" s="1"/>
      <c r="I7" s="1"/>
    </row>
    <row r="8" spans="1:9" x14ac:dyDescent="0.25">
      <c r="A8" s="1">
        <v>14114</v>
      </c>
      <c r="B8" s="1">
        <v>-6231</v>
      </c>
      <c r="C8" s="1">
        <v>15300</v>
      </c>
      <c r="D8" s="1">
        <v>20374</v>
      </c>
      <c r="E8" s="1">
        <v>41483</v>
      </c>
      <c r="F8" s="1"/>
      <c r="G8" s="1"/>
      <c r="H8" s="1"/>
      <c r="I8" s="1"/>
    </row>
    <row r="9" spans="1:9" x14ac:dyDescent="0.25">
      <c r="A9" s="1">
        <v>5335</v>
      </c>
      <c r="B9" s="1">
        <v>-2648</v>
      </c>
      <c r="C9" s="1">
        <v>15350</v>
      </c>
      <c r="D9" s="1">
        <v>4948</v>
      </c>
      <c r="E9" s="1">
        <v>8964</v>
      </c>
      <c r="F9" s="1"/>
      <c r="G9" s="1"/>
      <c r="H9" s="1"/>
      <c r="I9" s="1"/>
    </row>
    <row r="10" spans="1:9" x14ac:dyDescent="0.25">
      <c r="A10" s="1">
        <v>31218</v>
      </c>
      <c r="B10" s="1">
        <v>13983</v>
      </c>
      <c r="C10" s="1">
        <v>15400</v>
      </c>
      <c r="D10" s="1">
        <v>30751</v>
      </c>
      <c r="E10" s="1">
        <v>38030</v>
      </c>
      <c r="F10" s="1"/>
      <c r="G10" s="1"/>
      <c r="H10" s="1"/>
      <c r="I10" s="1"/>
    </row>
    <row r="11" spans="1:9" x14ac:dyDescent="0.25">
      <c r="A11" s="1">
        <v>15028</v>
      </c>
      <c r="B11" s="1">
        <v>11888</v>
      </c>
      <c r="C11" s="1">
        <v>15450</v>
      </c>
      <c r="D11" s="1">
        <v>11395</v>
      </c>
      <c r="E11" s="1">
        <v>12006</v>
      </c>
      <c r="F11" s="1"/>
      <c r="G11" s="1"/>
      <c r="H11" s="1"/>
      <c r="I11" s="1"/>
    </row>
    <row r="12" spans="1:9" x14ac:dyDescent="0.25">
      <c r="A12" s="1">
        <v>48464</v>
      </c>
      <c r="B12" s="1">
        <v>29220</v>
      </c>
      <c r="C12" s="1">
        <v>15500</v>
      </c>
      <c r="D12" s="1">
        <v>11982</v>
      </c>
      <c r="E12" s="1">
        <v>15802</v>
      </c>
      <c r="F12" s="1"/>
      <c r="G12" s="1"/>
      <c r="H12" s="1"/>
      <c r="I12" s="1"/>
    </row>
    <row r="13" spans="1:9" x14ac:dyDescent="0.25">
      <c r="A13" s="1">
        <v>13690</v>
      </c>
      <c r="B13" s="1">
        <v>10247</v>
      </c>
      <c r="C13" s="1">
        <v>15550</v>
      </c>
      <c r="D13" s="1">
        <v>938</v>
      </c>
      <c r="E13" s="1">
        <v>1126</v>
      </c>
      <c r="F13" s="1"/>
      <c r="G13" s="1"/>
      <c r="H13" s="1"/>
      <c r="I13" s="1"/>
    </row>
    <row r="14" spans="1:9" x14ac:dyDescent="0.25">
      <c r="A14" s="1">
        <v>34123</v>
      </c>
      <c r="B14" s="1">
        <v>18313</v>
      </c>
      <c r="C14" s="1">
        <v>15600</v>
      </c>
      <c r="D14" s="1">
        <v>3729</v>
      </c>
      <c r="E14" s="1">
        <v>4512</v>
      </c>
      <c r="F14" s="1"/>
      <c r="G14" s="1"/>
      <c r="H14" s="1"/>
      <c r="I14" s="1"/>
    </row>
    <row r="15" spans="1:9" x14ac:dyDescent="0.25">
      <c r="A15" s="1">
        <v>9577</v>
      </c>
      <c r="B15" s="1">
        <v>5426</v>
      </c>
      <c r="C15" s="1">
        <v>15650</v>
      </c>
      <c r="D15" s="1">
        <v>144</v>
      </c>
      <c r="E15" s="1">
        <v>170</v>
      </c>
      <c r="F15" s="1"/>
      <c r="G15" s="1"/>
      <c r="H15" s="1"/>
      <c r="I15" s="1"/>
    </row>
    <row r="16" spans="1:9" x14ac:dyDescent="0.25">
      <c r="A16" s="1">
        <v>33073</v>
      </c>
      <c r="B16" s="1">
        <v>12041</v>
      </c>
      <c r="C16" s="1">
        <v>15700</v>
      </c>
      <c r="D16" s="1">
        <v>1649</v>
      </c>
      <c r="E16" s="1">
        <v>15134</v>
      </c>
      <c r="F16" s="1"/>
      <c r="G16" s="1"/>
      <c r="H16" s="1"/>
      <c r="I16" s="1"/>
    </row>
    <row r="17" spans="1:9" x14ac:dyDescent="0.25">
      <c r="A17" s="1">
        <v>10077</v>
      </c>
      <c r="B17" s="1">
        <v>5833</v>
      </c>
      <c r="C17" s="1">
        <v>15750</v>
      </c>
      <c r="D17" s="1">
        <v>149</v>
      </c>
      <c r="E17" s="1">
        <v>161</v>
      </c>
      <c r="F17" s="1"/>
      <c r="G17" s="1"/>
      <c r="H17" s="1"/>
      <c r="I17" s="1"/>
    </row>
    <row r="18" spans="1:9" x14ac:dyDescent="0.25">
      <c r="A18" s="1">
        <v>28946</v>
      </c>
      <c r="B18" s="1">
        <v>9707</v>
      </c>
      <c r="C18" s="1">
        <v>15800</v>
      </c>
      <c r="D18" s="1">
        <v>120</v>
      </c>
      <c r="E18" s="1">
        <v>349</v>
      </c>
      <c r="F18" s="1"/>
      <c r="G18" s="1"/>
      <c r="H18" s="1"/>
      <c r="I18" s="1"/>
    </row>
    <row r="19" spans="1:9" x14ac:dyDescent="0.25">
      <c r="A19" s="1">
        <v>7546</v>
      </c>
      <c r="B19" s="1">
        <v>3628</v>
      </c>
      <c r="C19" s="1">
        <v>15850</v>
      </c>
      <c r="D19" s="1">
        <v>11</v>
      </c>
      <c r="E19" s="1">
        <v>17</v>
      </c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9" t="s">
        <v>14</v>
      </c>
      <c r="B21" s="1"/>
      <c r="C21" s="1"/>
      <c r="D21" s="1"/>
      <c r="E21" s="9" t="s">
        <v>14</v>
      </c>
      <c r="F21" s="1"/>
      <c r="G21" s="1"/>
      <c r="H21" s="1"/>
      <c r="I21" s="1"/>
    </row>
    <row r="22" spans="1:9" x14ac:dyDescent="0.25">
      <c r="A22" s="1">
        <v>435562</v>
      </c>
      <c r="B22" s="1"/>
      <c r="C22" s="1"/>
      <c r="D22" s="1"/>
      <c r="E22" s="1">
        <v>449612</v>
      </c>
      <c r="F22" s="1"/>
      <c r="G22" s="1"/>
      <c r="H22" s="1"/>
      <c r="I22" s="1"/>
    </row>
    <row r="23" spans="1:9" x14ac:dyDescent="0.25">
      <c r="A23" s="9" t="s">
        <v>15</v>
      </c>
      <c r="B23" s="1"/>
      <c r="C23" s="1"/>
      <c r="D23" s="1"/>
      <c r="E23" s="9" t="s">
        <v>15</v>
      </c>
      <c r="F23" s="1"/>
      <c r="G23" s="1"/>
      <c r="H23" s="1"/>
      <c r="I23" s="1"/>
    </row>
    <row r="24" spans="1:9" x14ac:dyDescent="0.25">
      <c r="A24" s="1">
        <v>2706644</v>
      </c>
      <c r="B24" s="1"/>
      <c r="C24" s="1"/>
      <c r="D24" s="1"/>
      <c r="E24" s="1">
        <v>2363715</v>
      </c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7">
        <f>Sheet1!C1</f>
        <v>0.60416666666666663</v>
      </c>
      <c r="B26" s="8">
        <f>Sheet1!A1</f>
        <v>15452.95</v>
      </c>
      <c r="C26" s="8">
        <f>SUM(Sheet1!A4:A19)</f>
        <v>264889</v>
      </c>
      <c r="D26" s="8">
        <f>SUM(Sheet1!E4:E19)</f>
        <v>211977</v>
      </c>
      <c r="E26" s="8">
        <f>SUM(Sheet1!B4:B19)</f>
        <v>107700</v>
      </c>
      <c r="F26" s="8">
        <f>SUM(Sheet1!D4:D19)</f>
        <v>116885</v>
      </c>
      <c r="G26" s="8">
        <f>SUM(Sheet1!B4:B19)-SUM(Sheet1!D4:D19)</f>
        <v>-9185</v>
      </c>
      <c r="H26" s="8">
        <f>SUM(Sheet1!D4:D19)/SUM(Sheet1!B4:B19)</f>
        <v>1.0852831940575673</v>
      </c>
      <c r="I26" s="8" t="str">
        <f>IF(SIGN(SUM(Sheet1!B4:B19)-SUM(Sheet1!D4:D19))=1,"DOWN","UP")</f>
        <v>UP</v>
      </c>
    </row>
  </sheetData>
  <mergeCells count="2">
    <mergeCell ref="A2:B2"/>
    <mergeCell ref="D2:E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ForceFetchData">
          <controlPr defaultSize="0" autoLine="0" r:id="rId5">
            <anchor moveWithCells="1">
              <from>
                <xdr:col>6</xdr:col>
                <xdr:colOff>352425</xdr:colOff>
                <xdr:row>6</xdr:row>
                <xdr:rowOff>123825</xdr:rowOff>
              </from>
              <to>
                <xdr:col>10</xdr:col>
                <xdr:colOff>495300</xdr:colOff>
                <xdr:row>9</xdr:row>
                <xdr:rowOff>142875</xdr:rowOff>
              </to>
            </anchor>
          </controlPr>
        </control>
      </mc:Choice>
      <mc:Fallback>
        <control shapeId="2049" r:id="rId4" name="ForceFetch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8"/>
  <sheetViews>
    <sheetView tabSelected="1" topLeftCell="D8" workbookViewId="0">
      <selection activeCell="Q22" sqref="Q22"/>
    </sheetView>
  </sheetViews>
  <sheetFormatPr defaultRowHeight="15" x14ac:dyDescent="0.25"/>
  <cols>
    <col min="2" max="2" width="12.5703125" customWidth="1"/>
  </cols>
  <sheetData>
    <row r="1" spans="1:9" x14ac:dyDescent="0.25">
      <c r="A1" s="2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  <c r="I1" s="3" t="s">
        <v>13</v>
      </c>
    </row>
    <row r="2" spans="1:9" x14ac:dyDescent="0.25">
      <c r="A2" s="4">
        <v>0.60902777777777783</v>
      </c>
      <c r="B2" s="1">
        <v>14848.4</v>
      </c>
      <c r="C2" s="1">
        <v>309002</v>
      </c>
      <c r="D2" s="1">
        <v>272310</v>
      </c>
      <c r="E2" s="1">
        <v>26835</v>
      </c>
      <c r="F2" s="1">
        <v>98896</v>
      </c>
      <c r="G2" s="1">
        <v>-72061</v>
      </c>
      <c r="H2" s="1">
        <v>3.6853363145146263</v>
      </c>
      <c r="I2" s="1" t="s">
        <v>16</v>
      </c>
    </row>
    <row r="3" spans="1:9" x14ac:dyDescent="0.25">
      <c r="A3" s="4">
        <v>0.61458333333333337</v>
      </c>
      <c r="B3" s="1">
        <v>14875.85</v>
      </c>
      <c r="C3" s="1">
        <v>319440</v>
      </c>
      <c r="D3" s="1">
        <v>268311</v>
      </c>
      <c r="E3" s="1">
        <v>28141</v>
      </c>
      <c r="F3" s="1">
        <v>99198</v>
      </c>
      <c r="G3" s="1">
        <v>-71057</v>
      </c>
      <c r="H3" s="1">
        <v>3.525034646956398</v>
      </c>
      <c r="I3" s="1" t="s">
        <v>16</v>
      </c>
    </row>
    <row r="4" spans="1:9" x14ac:dyDescent="0.25">
      <c r="A4" s="4">
        <v>0.62361111111111112</v>
      </c>
      <c r="B4" s="1">
        <v>14863.3</v>
      </c>
      <c r="C4" s="1">
        <v>316407</v>
      </c>
      <c r="D4" s="1">
        <v>271341</v>
      </c>
      <c r="E4" s="1">
        <v>25108</v>
      </c>
      <c r="F4" s="1">
        <v>102228</v>
      </c>
      <c r="G4" s="1">
        <v>-77120</v>
      </c>
      <c r="H4" s="1">
        <v>4.0715309861398756</v>
      </c>
      <c r="I4" s="1" t="s">
        <v>16</v>
      </c>
    </row>
    <row r="5" spans="1:9" x14ac:dyDescent="0.25">
      <c r="A5" s="4">
        <v>0.41666666666666669</v>
      </c>
      <c r="B5" s="1">
        <v>14718.85</v>
      </c>
      <c r="C5" s="1">
        <v>346492</v>
      </c>
      <c r="D5" s="1">
        <v>317220</v>
      </c>
      <c r="E5" s="1">
        <v>110650</v>
      </c>
      <c r="F5" s="1">
        <v>41745</v>
      </c>
      <c r="G5" s="1">
        <v>68905</v>
      </c>
      <c r="H5" s="1">
        <v>0.3772706732941708</v>
      </c>
      <c r="I5" s="1" t="s">
        <v>17</v>
      </c>
    </row>
    <row r="6" spans="1:9" x14ac:dyDescent="0.25">
      <c r="A6" s="4">
        <v>0.4201388888888889</v>
      </c>
      <c r="B6" s="1">
        <v>14692.9</v>
      </c>
      <c r="C6" s="1">
        <v>314287</v>
      </c>
      <c r="D6" s="1">
        <v>341118</v>
      </c>
      <c r="E6" s="1">
        <v>110701</v>
      </c>
      <c r="F6" s="1">
        <v>34858</v>
      </c>
      <c r="G6" s="1">
        <v>75843</v>
      </c>
      <c r="H6" s="1">
        <v>0.31488423772142982</v>
      </c>
      <c r="I6" s="1" t="s">
        <v>17</v>
      </c>
    </row>
    <row r="7" spans="1:9" x14ac:dyDescent="0.25">
      <c r="A7" s="4">
        <v>0.42777777777777781</v>
      </c>
      <c r="B7" s="1">
        <v>14657.95</v>
      </c>
      <c r="C7" s="1">
        <v>335166</v>
      </c>
      <c r="D7" s="1">
        <v>335195</v>
      </c>
      <c r="E7" s="1">
        <v>131580</v>
      </c>
      <c r="F7" s="1">
        <v>28935</v>
      </c>
      <c r="G7" s="1">
        <v>102645</v>
      </c>
      <c r="H7" s="1">
        <v>0.21990424076607387</v>
      </c>
      <c r="I7" s="1" t="s">
        <v>17</v>
      </c>
    </row>
    <row r="8" spans="1:9" x14ac:dyDescent="0.25">
      <c r="A8" s="4">
        <v>0.4375</v>
      </c>
      <c r="B8" s="1">
        <v>14640.75</v>
      </c>
      <c r="C8" s="1">
        <v>345896</v>
      </c>
      <c r="D8" s="1">
        <v>325000</v>
      </c>
      <c r="E8" s="1">
        <v>151004</v>
      </c>
      <c r="F8" s="1">
        <v>11800</v>
      </c>
      <c r="G8" s="1">
        <v>139204</v>
      </c>
      <c r="H8" s="1">
        <v>7.8143625334428229E-2</v>
      </c>
      <c r="I8" s="1" t="s">
        <v>17</v>
      </c>
    </row>
    <row r="9" spans="1:9" x14ac:dyDescent="0.25">
      <c r="A9" s="4">
        <v>0.44861111111111113</v>
      </c>
      <c r="B9" s="1">
        <v>14650.85</v>
      </c>
      <c r="C9" s="1">
        <v>380380</v>
      </c>
      <c r="D9" s="1">
        <v>319681</v>
      </c>
      <c r="E9" s="1">
        <v>176794</v>
      </c>
      <c r="F9" s="1">
        <v>13421</v>
      </c>
      <c r="G9" s="1">
        <v>163373</v>
      </c>
      <c r="H9" s="1">
        <v>7.5913209724311911E-2</v>
      </c>
      <c r="I9" s="1" t="s">
        <v>17</v>
      </c>
    </row>
    <row r="10" spans="1:9" x14ac:dyDescent="0.25">
      <c r="A10" s="4">
        <v>0.45902777777777781</v>
      </c>
      <c r="B10" s="1">
        <v>14619.45</v>
      </c>
      <c r="C10" s="1">
        <v>380909</v>
      </c>
      <c r="D10" s="1">
        <v>321511</v>
      </c>
      <c r="E10" s="1">
        <v>186017</v>
      </c>
      <c r="F10" s="1">
        <v>8311</v>
      </c>
      <c r="G10" s="1">
        <v>177706</v>
      </c>
      <c r="H10" s="1">
        <v>4.4678712160716491E-2</v>
      </c>
      <c r="I10" s="1" t="s">
        <v>17</v>
      </c>
    </row>
    <row r="11" spans="1:9" x14ac:dyDescent="0.25">
      <c r="A11" s="4">
        <v>0.46875</v>
      </c>
      <c r="B11" s="1">
        <v>14624.25</v>
      </c>
      <c r="C11" s="1">
        <v>387758</v>
      </c>
      <c r="D11" s="1">
        <v>323842</v>
      </c>
      <c r="E11" s="1">
        <v>192866</v>
      </c>
      <c r="F11" s="1">
        <v>10642</v>
      </c>
      <c r="G11" s="1">
        <v>182224</v>
      </c>
      <c r="H11" s="1">
        <v>5.5178206630510304E-2</v>
      </c>
      <c r="I11" s="1" t="s">
        <v>17</v>
      </c>
    </row>
    <row r="12" spans="1:9" x14ac:dyDescent="0.25">
      <c r="A12" s="4">
        <v>0.47986111111111113</v>
      </c>
      <c r="B12" s="1">
        <v>14595.6</v>
      </c>
      <c r="C12" s="1">
        <v>320033</v>
      </c>
      <c r="D12" s="1">
        <v>344799</v>
      </c>
      <c r="E12" s="1">
        <v>178975</v>
      </c>
      <c r="F12" s="1">
        <v>12826</v>
      </c>
      <c r="G12" s="1">
        <v>166149</v>
      </c>
      <c r="H12" s="1">
        <v>7.1663640173208545E-2</v>
      </c>
      <c r="I12" s="1" t="s">
        <v>17</v>
      </c>
    </row>
    <row r="13" spans="1:9" x14ac:dyDescent="0.25">
      <c r="A13" s="4">
        <v>0.5805555555555556</v>
      </c>
      <c r="B13" s="1">
        <v>15460.2</v>
      </c>
      <c r="C13" s="1">
        <v>269323</v>
      </c>
      <c r="D13" s="1">
        <v>217657</v>
      </c>
      <c r="E13" s="1">
        <v>112134</v>
      </c>
      <c r="F13" s="1">
        <v>122565</v>
      </c>
      <c r="G13" s="1">
        <v>-10431</v>
      </c>
      <c r="H13" s="1">
        <v>1.0930226336347584</v>
      </c>
      <c r="I13" s="1" t="s">
        <v>16</v>
      </c>
    </row>
    <row r="14" spans="1:9" x14ac:dyDescent="0.25">
      <c r="A14" s="4">
        <v>0.58888888888888891</v>
      </c>
      <c r="B14" s="1">
        <v>15452.55</v>
      </c>
      <c r="C14" s="1">
        <v>268669</v>
      </c>
      <c r="D14" s="1">
        <v>219174</v>
      </c>
      <c r="E14" s="1">
        <v>111480</v>
      </c>
      <c r="F14" s="1">
        <v>124082</v>
      </c>
      <c r="G14" s="1">
        <v>-12602</v>
      </c>
      <c r="H14" s="1">
        <v>1.1130426982418371</v>
      </c>
      <c r="I14" s="1" t="s">
        <v>16</v>
      </c>
    </row>
    <row r="15" spans="1:9" x14ac:dyDescent="0.25">
      <c r="A15" s="4">
        <v>0.59097222222222223</v>
      </c>
      <c r="B15" s="1">
        <v>15438.55</v>
      </c>
      <c r="C15" s="1">
        <v>261390</v>
      </c>
      <c r="D15" s="1">
        <v>224897</v>
      </c>
      <c r="E15" s="1">
        <v>107802</v>
      </c>
      <c r="F15" s="1">
        <v>127093</v>
      </c>
      <c r="G15" s="1">
        <v>-19291</v>
      </c>
      <c r="H15" s="1">
        <v>1.1789484425149812</v>
      </c>
      <c r="I15" s="1" t="s">
        <v>16</v>
      </c>
    </row>
    <row r="16" spans="1:9" x14ac:dyDescent="0.25">
      <c r="A16" s="4">
        <v>0.60416666666666663</v>
      </c>
      <c r="B16" s="1">
        <v>15452.95</v>
      </c>
      <c r="C16" s="1">
        <v>264889</v>
      </c>
      <c r="D16" s="1">
        <v>211977</v>
      </c>
      <c r="E16" s="1">
        <v>107700</v>
      </c>
      <c r="F16" s="1">
        <v>116885</v>
      </c>
      <c r="G16" s="1">
        <v>-9185</v>
      </c>
      <c r="H16" s="1">
        <v>1.0852831940575673</v>
      </c>
      <c r="I16" s="1" t="s">
        <v>16</v>
      </c>
    </row>
    <row r="17" spans="1:9" x14ac:dyDescent="0.25">
      <c r="A17" s="4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4"/>
      <c r="B18" s="1"/>
      <c r="C18" s="1"/>
      <c r="D18" s="1"/>
      <c r="E18" s="1"/>
      <c r="F18" s="1"/>
      <c r="G18" s="1"/>
      <c r="H18" s="1"/>
      <c r="I18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learData">
          <controlPr defaultSize="0" autoLine="0" r:id="rId4">
            <anchor moveWithCells="1">
              <from>
                <xdr:col>11</xdr:col>
                <xdr:colOff>190500</xdr:colOff>
                <xdr:row>7</xdr:row>
                <xdr:rowOff>66675</xdr:rowOff>
              </from>
              <to>
                <xdr:col>14</xdr:col>
                <xdr:colOff>561975</xdr:colOff>
                <xdr:row>10</xdr:row>
                <xdr:rowOff>133350</xdr:rowOff>
              </to>
            </anchor>
          </controlPr>
        </control>
      </mc:Choice>
      <mc:Fallback>
        <control shapeId="1025" r:id="rId3" name="Clea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OIDATA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Geet</dc:creator>
  <cp:lastModifiedBy>Poorna Chand</cp:lastModifiedBy>
  <dcterms:created xsi:type="dcterms:W3CDTF">2020-12-26T08:25:04Z</dcterms:created>
  <dcterms:modified xsi:type="dcterms:W3CDTF">2021-05-28T09:02:19Z</dcterms:modified>
</cp:coreProperties>
</file>